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hedule" sheetId="1" state="visible" r:id="rId1"/>
    <sheet xmlns:r="http://schemas.openxmlformats.org/officeDocument/2006/relationships" name="Question &amp; Marking Matrix" sheetId="2" state="visible" r:id="rId2"/>
    <sheet xmlns:r="http://schemas.openxmlformats.org/officeDocument/2006/relationships" name="Staff &amp; Volunteer Roster" sheetId="3" state="visible" r:id="rId3"/>
    <sheet xmlns:r="http://schemas.openxmlformats.org/officeDocument/2006/relationships" name="Jury Evaluation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4" customWidth="1" min="4" max="4"/>
    <col width="50" customWidth="1" min="5" max="5"/>
    <col width="14" customWidth="1" min="6" max="6"/>
    <col width="30" customWidth="1" min="7" max="7"/>
  </cols>
  <sheetData>
    <row r="1">
      <c r="A1" s="1" t="inlineStr">
        <is>
          <t>LOGIC MATRIX — SAMYAK 2026 TECHNO MANAGEMENT FEST</t>
        </is>
      </c>
    </row>
    <row r="2">
      <c r="A2" s="2" t="inlineStr">
        <is>
          <t>Event Master Schedule, Timetable &amp; Operational Timeline | Date: Oct 29, 2026 | Venue: R406A | Time: 09:30 AM - 12:30 PM</t>
        </is>
      </c>
    </row>
    <row r="3"/>
    <row r="4">
      <c r="A4" s="3" t="inlineStr">
        <is>
          <t>EVENT OVERVIEW &amp; SUMMARY</t>
        </is>
      </c>
    </row>
    <row r="5">
      <c r="A5" s="4" t="inlineStr">
        <is>
          <t>Event Name</t>
        </is>
      </c>
      <c r="B5" s="5" t="inlineStr">
        <is>
          <t>LOGIC MATRIX (ECE Dept)</t>
        </is>
      </c>
      <c r="C5" s="6" t="n"/>
    </row>
    <row r="6">
      <c r="A6" s="4" t="inlineStr">
        <is>
          <t>Event Date</t>
        </is>
      </c>
      <c r="B6" s="5" t="inlineStr">
        <is>
          <t>October 29, 2026</t>
        </is>
      </c>
      <c r="C6" s="6" t="n"/>
    </row>
    <row r="7">
      <c r="A7" s="4" t="inlineStr">
        <is>
          <t>Time Slot</t>
        </is>
      </c>
      <c r="B7" s="5" t="inlineStr">
        <is>
          <t>09:30 AM – 12:30 PM (180 mins)</t>
        </is>
      </c>
      <c r="C7" s="6" t="n"/>
    </row>
    <row r="8">
      <c r="A8" s="4" t="inlineStr">
        <is>
          <t>Venue</t>
        </is>
      </c>
      <c r="B8" s="5" t="inlineStr">
        <is>
          <t>Room R406A, KL University</t>
        </is>
      </c>
      <c r="C8" s="6" t="n"/>
    </row>
    <row r="9">
      <c r="A9" s="4" t="inlineStr">
        <is>
          <t>Target Audience</t>
        </is>
      </c>
      <c r="B9" s="5" t="inlineStr">
        <is>
          <t>2nd Year BTech Students</t>
        </is>
      </c>
      <c r="C9" s="6" t="n"/>
    </row>
    <row r="10">
      <c r="A10" s="4" t="inlineStr">
        <is>
          <t>Total Marks</t>
        </is>
      </c>
      <c r="B10" s="5" t="inlineStr">
        <is>
          <t>80 Marks (20 Questions)</t>
        </is>
      </c>
      <c r="C10" s="6" t="n"/>
    </row>
    <row r="11"/>
    <row r="12">
      <c r="A12" s="3" t="inlineStr">
        <is>
          <t>MINUTE-BY-MINUTE TIMETABLE &amp; EXECUTION FLOW</t>
        </is>
      </c>
    </row>
    <row r="13">
      <c r="A13" s="7" t="inlineStr">
        <is>
          <t>Time Window</t>
        </is>
      </c>
      <c r="B13" s="7" t="inlineStr">
        <is>
          <t>Duration (mins)</t>
        </is>
      </c>
      <c r="C13" s="7" t="inlineStr">
        <is>
          <t>Phase / Stage</t>
        </is>
      </c>
      <c r="D13" s="7" t="inlineStr">
        <is>
          <t>Slide Ref</t>
        </is>
      </c>
      <c r="E13" s="7" t="inlineStr">
        <is>
          <t>Core Operational Activities &amp; Proctoring Focus</t>
        </is>
      </c>
      <c r="F13" s="7" t="inlineStr">
        <is>
          <t>Target Marks</t>
        </is>
      </c>
      <c r="G13" s="7" t="inlineStr">
        <is>
          <t>Deliverable File Reference</t>
        </is>
      </c>
    </row>
    <row r="14">
      <c r="A14" s="8" t="inlineStr">
        <is>
          <t>09:30 AM - 09:45 AM</t>
        </is>
      </c>
      <c r="B14" s="8" t="n">
        <v>15</v>
      </c>
      <c r="C14" s="9" t="inlineStr">
        <is>
          <t>Check-in &amp; Briefing</t>
        </is>
      </c>
      <c r="D14" s="8" t="inlineStr">
        <is>
          <t>Slides 1–2</t>
        </is>
      </c>
      <c r="E14" s="9" t="inlineStr">
        <is>
          <t>Participant seating, registration verification, answer booklet distribution, projector setup, reading rules &amp; marking guidelines (+2/-0.5 MCQ).</t>
        </is>
      </c>
      <c r="F14" s="8" t="n">
        <v>0</v>
      </c>
      <c r="G14" s="9" t="inlineStr">
        <is>
          <t>logic_matrix_questions.pptx</t>
        </is>
      </c>
    </row>
    <row r="15">
      <c r="A15" s="10" t="inlineStr">
        <is>
          <t>09:45 AM - 10:15 AM</t>
        </is>
      </c>
      <c r="B15" s="10" t="n">
        <v>30</v>
      </c>
      <c r="C15" s="11" t="inlineStr">
        <is>
          <t>Section A: Rapid MCQs</t>
        </is>
      </c>
      <c r="D15" s="10" t="inlineStr">
        <is>
          <t>Slides 3–12</t>
        </is>
      </c>
      <c r="E15" s="11" t="inlineStr">
        <is>
          <t>10 Multiple Choice Questions (Q1–Q10). Proctoring focus: Strict individual attempt, zero phone/calculator policy.</t>
        </is>
      </c>
      <c r="F15" s="10" t="n">
        <v>20</v>
      </c>
      <c r="G15" s="11" t="inlineStr">
        <is>
          <t>logic_matrix_questions.pptx</t>
        </is>
      </c>
    </row>
    <row r="16">
      <c r="A16" s="8" t="inlineStr">
        <is>
          <t>10:15 AM - 11:25 AM</t>
        </is>
      </c>
      <c r="B16" s="8" t="n">
        <v>70</v>
      </c>
      <c r="C16" s="9" t="inlineStr">
        <is>
          <t>Section B: Design &amp; Analysis</t>
        </is>
      </c>
      <c r="D16" s="8" t="inlineStr">
        <is>
          <t>Slides 13–20</t>
        </is>
      </c>
      <c r="E16" s="9" t="inlineStr">
        <is>
          <t>8 Short Answer &amp; Circuit Design Problems (Q11–Q18). Proctoring focus: Verify work on K-map groupings and truth tables.</t>
        </is>
      </c>
      <c r="F16" s="8" t="n">
        <v>40</v>
      </c>
      <c r="G16" s="9" t="inlineStr">
        <is>
          <t>logic_matrix_questions.pptx</t>
        </is>
      </c>
    </row>
    <row r="17">
      <c r="A17" s="10" t="inlineStr">
        <is>
          <t>11:25 AM - 11:45 AM</t>
        </is>
      </c>
      <c r="B17" s="10" t="n">
        <v>20</v>
      </c>
      <c r="C17" s="11" t="inlineStr">
        <is>
          <t>Section C: Logic Puzzles</t>
        </is>
      </c>
      <c r="D17" s="10" t="inlineStr">
        <is>
          <t>Slides 21–22</t>
        </is>
      </c>
      <c r="E17" s="11" t="inlineStr">
        <is>
          <t>2 Advanced Brainteasers (Q19 Fault Diagnostic Black-Box &amp; Q20 Self-Complementing Lock). High-level critical thinking.</t>
        </is>
      </c>
      <c r="F17" s="10" t="n">
        <v>20</v>
      </c>
      <c r="G17" s="11" t="inlineStr">
        <is>
          <t>logic_matrix_questions.pptx</t>
        </is>
      </c>
    </row>
    <row r="18">
      <c r="A18" s="8" t="inlineStr">
        <is>
          <t>11:45 AM - 11:50 AM</t>
        </is>
      </c>
      <c r="B18" s="8" t="n">
        <v>5</v>
      </c>
      <c r="C18" s="9" t="inlineStr">
        <is>
          <t>Paper Collection &amp; Break</t>
        </is>
      </c>
      <c r="D18" s="8" t="inlineStr">
        <is>
          <t>Slide 23</t>
        </is>
      </c>
      <c r="E18" s="9" t="inlineStr">
        <is>
          <t>Collect all student answer scripts, hand over to jury evaluation desk in R406A. 5-minute breather for students.</t>
        </is>
      </c>
      <c r="F18" s="8" t="n">
        <v>0</v>
      </c>
      <c r="G18" s="9" t="inlineStr">
        <is>
          <t>Answer Booklets</t>
        </is>
      </c>
    </row>
    <row r="19">
      <c r="A19" s="10" t="inlineStr">
        <is>
          <t>11:50 AM - 12:15 PM</t>
        </is>
      </c>
      <c r="B19" s="10" t="n">
        <v>25</v>
      </c>
      <c r="C19" s="11" t="inlineStr">
        <is>
          <t>Solution Reveal &amp; Evaluation</t>
        </is>
      </c>
      <c r="D19" s="10" t="inlineStr">
        <is>
          <t>Sol Slides 3–22</t>
        </is>
      </c>
      <c r="E19" s="11" t="inlineStr">
        <is>
          <t>Project step-by-step visual solution deck on screen. Jury desk simultaneously grades answer scripts using solution key PDF.</t>
        </is>
      </c>
      <c r="F19" s="10" t="n">
        <v>0</v>
      </c>
      <c r="G19" s="11" t="inlineStr">
        <is>
          <t>logic_matrix_solutions.pptx / .pdf</t>
        </is>
      </c>
    </row>
    <row r="20">
      <c r="A20" s="8" t="inlineStr">
        <is>
          <t>12:15 PM - 12:25 PM</t>
        </is>
      </c>
      <c r="B20" s="8" t="n">
        <v>10</v>
      </c>
      <c r="C20" s="9" t="inlineStr">
        <is>
          <t>Sudden Death Tie-Breaker</t>
        </is>
      </c>
      <c r="D20" s="8" t="inlineStr">
        <is>
          <t>Slides 24–26</t>
        </is>
      </c>
      <c r="E20" s="9" t="inlineStr">
        <is>
          <t>Project tie-breaker questions if top scores are equal. Rapid buzzer / hand-raise round.</t>
        </is>
      </c>
      <c r="F20" s="8" t="n">
        <v>0</v>
      </c>
      <c r="G20" s="9" t="inlineStr">
        <is>
          <t>logic_matrix_questions.pptx</t>
        </is>
      </c>
    </row>
    <row r="21">
      <c r="A21" s="10" t="inlineStr">
        <is>
          <t>12:25 PM - 12:30 PM</t>
        </is>
      </c>
      <c r="B21" s="10" t="n">
        <v>5</v>
      </c>
      <c r="C21" s="11" t="inlineStr">
        <is>
          <t>Prize Ceremony &amp; Wrap-up</t>
        </is>
      </c>
      <c r="D21" s="10" t="inlineStr">
        <is>
          <t>Slide 27</t>
        </is>
      </c>
      <c r="E21" s="11" t="inlineStr">
        <is>
          <t>Announce 1st, 2nd, and 3rd place winners, distribute certificates/trophies, vote of thanks, group photo.</t>
        </is>
      </c>
      <c r="F21" s="10" t="n">
        <v>0</v>
      </c>
      <c r="G21" s="11" t="inlineStr">
        <is>
          <t>Event Certificates</t>
        </is>
      </c>
    </row>
    <row r="22">
      <c r="A22" s="12" t="inlineStr">
        <is>
          <t>TOTAL EVENT DURATION</t>
        </is>
      </c>
      <c r="B22" s="13">
        <f>SUM(B14:B21)</f>
        <v/>
      </c>
      <c r="C22" s="14" t="inlineStr">
        <is>
          <t>180 Minutes (3 Hours Total)</t>
        </is>
      </c>
      <c r="F22" s="13">
        <f>SUM(F14:F21)</f>
        <v/>
      </c>
    </row>
  </sheetData>
  <mergeCells count="10">
    <mergeCell ref="B6:C6"/>
    <mergeCell ref="A1:G1"/>
    <mergeCell ref="B7:C7"/>
    <mergeCell ref="B5:C5"/>
    <mergeCell ref="B10:C10"/>
    <mergeCell ref="A12:G12"/>
    <mergeCell ref="A2:G2"/>
    <mergeCell ref="B9:C9"/>
    <mergeCell ref="A4:C4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14" customWidth="1" min="4" max="4"/>
    <col width="16" customWidth="1" min="5" max="5"/>
    <col width="14" customWidth="1" min="6" max="6"/>
    <col width="16" customWidth="1" min="7" max="7"/>
    <col width="50" customWidth="1" min="8" max="8"/>
  </cols>
  <sheetData>
    <row r="1">
      <c r="A1" s="1" t="inlineStr">
        <is>
          <t>LOGIC MATRIX — QUESTION BANK &amp; MARKING RUBRIC</t>
        </is>
      </c>
    </row>
    <row r="2">
      <c r="A2" s="2" t="inlineStr">
        <is>
          <t>Complete 20-Question Breakdown + Tie-Breaker Details, Core Topics, Mark Weights &amp; Marking Guidelines</t>
        </is>
      </c>
    </row>
    <row r="3"/>
    <row r="4">
      <c r="A4" s="7" t="inlineStr">
        <is>
          <t>Q#</t>
        </is>
      </c>
      <c r="B4" s="7" t="inlineStr">
        <is>
          <t>Section / Category</t>
        </is>
      </c>
      <c r="C4" s="7" t="inlineStr">
        <is>
          <t>Core Topic Covered</t>
        </is>
      </c>
      <c r="D4" s="7" t="inlineStr">
        <is>
          <t>Question Type</t>
        </is>
      </c>
      <c r="E4" s="7" t="inlineStr">
        <is>
          <t>Allocated Time</t>
        </is>
      </c>
      <c r="F4" s="7" t="inlineStr">
        <is>
          <t>Correct Marks</t>
        </is>
      </c>
      <c r="G4" s="7" t="inlineStr">
        <is>
          <t>Negative Penalty</t>
        </is>
      </c>
      <c r="H4" s="7" t="inlineStr">
        <is>
          <t>Model Answer / Key Summary</t>
        </is>
      </c>
    </row>
    <row r="5">
      <c r="A5" s="8" t="n">
        <v>1</v>
      </c>
      <c r="B5" s="9" t="inlineStr">
        <is>
          <t>Section A: MCQs</t>
        </is>
      </c>
      <c r="C5" s="9" t="inlineStr">
        <is>
          <t>Boolean Duality Principle</t>
        </is>
      </c>
      <c r="D5" s="8" t="inlineStr">
        <is>
          <t>MCQ</t>
        </is>
      </c>
      <c r="E5" s="8" t="inlineStr">
        <is>
          <t>3 mins</t>
        </is>
      </c>
      <c r="F5" s="8" t="n">
        <v>2</v>
      </c>
      <c r="G5" s="8" t="n">
        <v>-0.5</v>
      </c>
      <c r="H5" s="9" t="inlineStr">
        <is>
          <t>Option B: Swap AND/OR operators, swap 0/1 constants, keep variables unchanged.</t>
        </is>
      </c>
    </row>
    <row r="6">
      <c r="A6" s="10" t="n">
        <v>2</v>
      </c>
      <c r="B6" s="11" t="inlineStr">
        <is>
          <t>Section A: MCQs</t>
        </is>
      </c>
      <c r="C6" s="11" t="inlineStr">
        <is>
          <t>4-Variable K-Map Implicants</t>
        </is>
      </c>
      <c r="D6" s="10" t="inlineStr">
        <is>
          <t>MCQ</t>
        </is>
      </c>
      <c r="E6" s="10" t="inlineStr">
        <is>
          <t>3 mins</t>
        </is>
      </c>
      <c r="F6" s="10" t="n">
        <v>2</v>
      </c>
      <c r="G6" s="10" t="n">
        <v>-0.5</v>
      </c>
      <c r="H6" s="11" t="inlineStr">
        <is>
          <t>Option C: Essential Prime Implicants = 2 (covers minterms m1, m5, m10, m14).</t>
        </is>
      </c>
    </row>
    <row r="7">
      <c r="A7" s="8" t="n">
        <v>3</v>
      </c>
      <c r="B7" s="9" t="inlineStr">
        <is>
          <t>Section A: MCQs</t>
        </is>
      </c>
      <c r="C7" s="9" t="inlineStr">
        <is>
          <t>NAND-Only XOR Logic</t>
        </is>
      </c>
      <c r="D7" s="8" t="inlineStr">
        <is>
          <t>MCQ</t>
        </is>
      </c>
      <c r="E7" s="8" t="inlineStr">
        <is>
          <t>3 mins</t>
        </is>
      </c>
      <c r="F7" s="8" t="n">
        <v>2</v>
      </c>
      <c r="G7" s="8" t="n">
        <v>-0.5</v>
      </c>
      <c r="H7" s="9" t="inlineStr">
        <is>
          <t>Option B: Exactly 4 2-input NAND gates required for A XOR B.</t>
        </is>
      </c>
    </row>
    <row r="8">
      <c r="A8" s="10" t="n">
        <v>4</v>
      </c>
      <c r="B8" s="11" t="inlineStr">
        <is>
          <t>Section A: MCQs</t>
        </is>
      </c>
      <c r="C8" s="11" t="inlineStr">
        <is>
          <t>8:1 Multiplexer Expression</t>
        </is>
      </c>
      <c r="D8" s="10" t="inlineStr">
        <is>
          <t>MCQ</t>
        </is>
      </c>
      <c r="E8" s="10" t="inlineStr">
        <is>
          <t>3 mins</t>
        </is>
      </c>
      <c r="F8" s="10" t="n">
        <v>2</v>
      </c>
      <c r="G8" s="10" t="n">
        <v>-0.5</v>
      </c>
      <c r="H8" s="11" t="inlineStr">
        <is>
          <t>Option A: F = S2'S1'S0'(D0) + ... + S2 S1 S0 (D7).</t>
        </is>
      </c>
    </row>
    <row r="9">
      <c r="A9" s="8" t="n">
        <v>5</v>
      </c>
      <c r="B9" s="9" t="inlineStr">
        <is>
          <t>Section A: MCQs</t>
        </is>
      </c>
      <c r="C9" s="9" t="inlineStr">
        <is>
          <t>4-bit Ripple Carry Adder Delay</t>
        </is>
      </c>
      <c r="D9" s="8" t="inlineStr">
        <is>
          <t>MCQ</t>
        </is>
      </c>
      <c r="E9" s="8" t="inlineStr">
        <is>
          <t>3 mins</t>
        </is>
      </c>
      <c r="F9" s="8" t="n">
        <v>2</v>
      </c>
      <c r="G9" s="8" t="n">
        <v>-0.5</v>
      </c>
      <c r="H9" s="9" t="inlineStr">
        <is>
          <t>Option C: Critical path delay = t_carry_gate * 4 = 12 ns.</t>
        </is>
      </c>
    </row>
    <row r="10">
      <c r="A10" s="10" t="n">
        <v>6</v>
      </c>
      <c r="B10" s="11" t="inlineStr">
        <is>
          <t>Section A: MCQs</t>
        </is>
      </c>
      <c r="C10" s="11" t="inlineStr">
        <is>
          <t>Don't Care K-Map Minimization</t>
        </is>
      </c>
      <c r="D10" s="10" t="inlineStr">
        <is>
          <t>MCQ</t>
        </is>
      </c>
      <c r="E10" s="10" t="inlineStr">
        <is>
          <t>3 mins</t>
        </is>
      </c>
      <c r="F10" s="10" t="n">
        <v>2</v>
      </c>
      <c r="G10" s="10" t="n">
        <v>-0.5</v>
      </c>
      <c r="H10" s="11" t="inlineStr">
        <is>
          <t>Option B: F = A'B + CD' (including optimal don't care inclusions).</t>
        </is>
      </c>
    </row>
    <row r="11">
      <c r="A11" s="8" t="n">
        <v>7</v>
      </c>
      <c r="B11" s="9" t="inlineStr">
        <is>
          <t>Section A: MCQs</t>
        </is>
      </c>
      <c r="C11" s="9" t="inlineStr">
        <is>
          <t>Active-LOW Decoder Realization</t>
        </is>
      </c>
      <c r="D11" s="8" t="inlineStr">
        <is>
          <t>MCQ</t>
        </is>
      </c>
      <c r="E11" s="8" t="inlineStr">
        <is>
          <t>3 mins</t>
        </is>
      </c>
      <c r="F11" s="8" t="n">
        <v>2</v>
      </c>
      <c r="G11" s="8" t="n">
        <v>-0.5</v>
      </c>
      <c r="H11" s="9" t="inlineStr">
        <is>
          <t>Option A: NAND gates required for active-LOW output decoder.</t>
        </is>
      </c>
    </row>
    <row r="12">
      <c r="A12" s="10" t="n">
        <v>8</v>
      </c>
      <c r="B12" s="11" t="inlineStr">
        <is>
          <t>Section A: MCQs</t>
        </is>
      </c>
      <c r="C12" s="11" t="inlineStr">
        <is>
          <t>6-Variable K-Map Sub-cube Adjacency</t>
        </is>
      </c>
      <c r="D12" s="10" t="inlineStr">
        <is>
          <t>MCQ</t>
        </is>
      </c>
      <c r="E12" s="10" t="inlineStr">
        <is>
          <t>3 mins</t>
        </is>
      </c>
      <c r="F12" s="10" t="n">
        <v>2</v>
      </c>
      <c r="G12" s="10" t="n">
        <v>-0.5</v>
      </c>
      <c r="H12" s="11" t="inlineStr">
        <is>
          <t>Option D: 16-cell sub-cube eliminates 4 variables, leaving 2 literals.</t>
        </is>
      </c>
    </row>
    <row r="13">
      <c r="A13" s="8" t="n">
        <v>9</v>
      </c>
      <c r="B13" s="9" t="inlineStr">
        <is>
          <t>Section A: MCQs</t>
        </is>
      </c>
      <c r="C13" s="9" t="inlineStr">
        <is>
          <t>Cascaded 7485 Magnitude Comparator</t>
        </is>
      </c>
      <c r="D13" s="8" t="inlineStr">
        <is>
          <t>MCQ</t>
        </is>
      </c>
      <c r="E13" s="8" t="inlineStr">
        <is>
          <t>3 mins</t>
        </is>
      </c>
      <c r="F13" s="8" t="n">
        <v>2</v>
      </c>
      <c r="G13" s="8" t="n">
        <v>-0.5</v>
      </c>
      <c r="H13" s="9" t="inlineStr">
        <is>
          <t>Option B: Connect A&gt;B_in, A&lt;B_in to lower stage outputs.</t>
        </is>
      </c>
    </row>
    <row r="14">
      <c r="A14" s="10" t="n">
        <v>10</v>
      </c>
      <c r="B14" s="11" t="inlineStr">
        <is>
          <t>Section A: MCQs</t>
        </is>
      </c>
      <c r="C14" s="11" t="inlineStr">
        <is>
          <t>Self-Dual Boolean Functions (n=3)</t>
        </is>
      </c>
      <c r="D14" s="10" t="inlineStr">
        <is>
          <t>MCQ</t>
        </is>
      </c>
      <c r="E14" s="10" t="inlineStr">
        <is>
          <t>3 mins</t>
        </is>
      </c>
      <c r="F14" s="10" t="n">
        <v>2</v>
      </c>
      <c r="G14" s="10" t="n">
        <v>-0.5</v>
      </c>
      <c r="H14" s="11" t="inlineStr">
        <is>
          <t>Option C: Total self-dual functions for n=3 is 2^(2^(3-1)) = 16.</t>
        </is>
      </c>
    </row>
    <row r="15">
      <c r="A15" s="8" t="n">
        <v>11</v>
      </c>
      <c r="B15" s="9" t="inlineStr">
        <is>
          <t>Section B: Short Answer</t>
        </is>
      </c>
      <c r="C15" s="9" t="inlineStr">
        <is>
          <t>Algebraic Reduction &amp; NAND Level</t>
        </is>
      </c>
      <c r="D15" s="8" t="inlineStr">
        <is>
          <t>Design</t>
        </is>
      </c>
      <c r="E15" s="8" t="inlineStr">
        <is>
          <t>8 mins</t>
        </is>
      </c>
      <c r="F15" s="8" t="n">
        <v>5</v>
      </c>
      <c r="G15" s="8" t="n">
        <v>0</v>
      </c>
      <c r="H15" s="9" t="inlineStr">
        <is>
          <t>Simplified expression F = AB + CD. 2-level NAND-NAND circuit schematic.</t>
        </is>
      </c>
    </row>
    <row r="16">
      <c r="A16" s="10" t="n">
        <v>12</v>
      </c>
      <c r="B16" s="11" t="inlineStr">
        <is>
          <t>Section B: Short Answer</t>
        </is>
      </c>
      <c r="C16" s="11" t="inlineStr">
        <is>
          <t>4-Variable K-Map &amp; EPI Identification</t>
        </is>
      </c>
      <c r="D16" s="10" t="inlineStr">
        <is>
          <t>Design</t>
        </is>
      </c>
      <c r="E16" s="10" t="inlineStr">
        <is>
          <t>9 mins</t>
        </is>
      </c>
      <c r="F16" s="10" t="n">
        <v>5</v>
      </c>
      <c r="G16" s="10" t="n">
        <v>0</v>
      </c>
      <c r="H16" s="11" t="inlineStr">
        <is>
          <t>K-map grid shown; Essential Prime Implicants: W'Z, X'Y. Final SOP: F = W'Z + X'Y.</t>
        </is>
      </c>
    </row>
    <row r="17">
      <c r="A17" s="8" t="n">
        <v>13</v>
      </c>
      <c r="B17" s="9" t="inlineStr">
        <is>
          <t>Section B: Short Answer</t>
        </is>
      </c>
      <c r="C17" s="9" t="inlineStr">
        <is>
          <t>6-Variable K-Map (4 Sub-maps)</t>
        </is>
      </c>
      <c r="D17" s="8" t="inlineStr">
        <is>
          <t>Design</t>
        </is>
      </c>
      <c r="E17" s="8" t="inlineStr">
        <is>
          <t>10 mins</t>
        </is>
      </c>
      <c r="F17" s="8" t="n">
        <v>5</v>
      </c>
      <c r="G17" s="8" t="n">
        <v>0</v>
      </c>
      <c r="H17" s="9" t="inlineStr">
        <is>
          <t>Minimization across 4 sub-maps (EF=00,01,11,10). Result: F = B'D'E' + A C E.</t>
        </is>
      </c>
    </row>
    <row r="18">
      <c r="A18" s="10" t="n">
        <v>14</v>
      </c>
      <c r="B18" s="11" t="inlineStr">
        <is>
          <t>Section B: Short Answer</t>
        </is>
      </c>
      <c r="C18" s="11" t="inlineStr">
        <is>
          <t>4:1 MUX Tree Implementation</t>
        </is>
      </c>
      <c r="D18" s="10" t="inlineStr">
        <is>
          <t>Design</t>
        </is>
      </c>
      <c r="E18" s="10" t="inlineStr">
        <is>
          <t>8 mins</t>
        </is>
      </c>
      <c r="F18" s="10" t="n">
        <v>5</v>
      </c>
      <c r="G18" s="10" t="n">
        <v>0</v>
      </c>
      <c r="H18" s="11" t="inlineStr">
        <is>
          <t>Implement 8:1 MUX using two 4:1 MUXes and one 2:1 MUX enable logic.</t>
        </is>
      </c>
    </row>
    <row r="19">
      <c r="A19" s="8" t="n">
        <v>15</v>
      </c>
      <c r="B19" s="9" t="inlineStr">
        <is>
          <t>Section B: Short Answer</t>
        </is>
      </c>
      <c r="C19" s="9" t="inlineStr">
        <is>
          <t>Static 1-Hazard &amp; Consensus Term</t>
        </is>
      </c>
      <c r="D19" s="8" t="inlineStr">
        <is>
          <t>Design</t>
        </is>
      </c>
      <c r="E19" s="8" t="inlineStr">
        <is>
          <t>9 mins</t>
        </is>
      </c>
      <c r="F19" s="8" t="n">
        <v>5</v>
      </c>
      <c r="G19" s="8" t="n">
        <v>0</v>
      </c>
      <c r="H19" s="9" t="inlineStr">
        <is>
          <t>Hazard condition occurs on transition A=1-&gt;0 when B=C=1. Fix: add consensus term BC.</t>
        </is>
      </c>
    </row>
    <row r="20">
      <c r="A20" s="10" t="n">
        <v>16</v>
      </c>
      <c r="B20" s="11" t="inlineStr">
        <is>
          <t>Section B: Short Answer</t>
        </is>
      </c>
      <c r="C20" s="11" t="inlineStr">
        <is>
          <t>Full Subtractor POS &amp; NOR Realization</t>
        </is>
      </c>
      <c r="D20" s="10" t="inlineStr">
        <is>
          <t>Design</t>
        </is>
      </c>
      <c r="E20" s="10" t="inlineStr">
        <is>
          <t>9 mins</t>
        </is>
      </c>
      <c r="F20" s="10" t="n">
        <v>5</v>
      </c>
      <c r="G20" s="10" t="n">
        <v>0</v>
      </c>
      <c r="H20" s="11" t="inlineStr">
        <is>
          <t>B_out POS expression derived; implemented using 2-level NOR-NOR logic tree.</t>
        </is>
      </c>
    </row>
    <row r="21">
      <c r="A21" s="8" t="n">
        <v>17</v>
      </c>
      <c r="B21" s="9" t="inlineStr">
        <is>
          <t>Section B: Short Answer</t>
        </is>
      </c>
      <c r="C21" s="9" t="inlineStr">
        <is>
          <t>4-to-2 Priority Encoder with Valid Bit</t>
        </is>
      </c>
      <c r="D21" s="8" t="inlineStr">
        <is>
          <t>Design</t>
        </is>
      </c>
      <c r="E21" s="8" t="inlineStr">
        <is>
          <t>9 mins</t>
        </is>
      </c>
      <c r="F21" s="8" t="n">
        <v>5</v>
      </c>
      <c r="G21" s="8" t="n">
        <v>0</v>
      </c>
      <c r="H21" s="9" t="inlineStr">
        <is>
          <t>Truth table with priority D3&gt;D2&gt;D1&gt;D0; Y1 = D3+D2, Y0 = D3+D1'D2', V = D3+D2+D1+D0.</t>
        </is>
      </c>
    </row>
    <row r="22">
      <c r="A22" s="10" t="n">
        <v>18</v>
      </c>
      <c r="B22" s="11" t="inlineStr">
        <is>
          <t>Section B: Short Answer</t>
        </is>
      </c>
      <c r="C22" s="11" t="inlineStr">
        <is>
          <t>4-Bit Parity Tree Timing &amp; Propagation</t>
        </is>
      </c>
      <c r="D22" s="10" t="inlineStr">
        <is>
          <t>Design</t>
        </is>
      </c>
      <c r="E22" s="10" t="inlineStr">
        <is>
          <t>8 mins</t>
        </is>
      </c>
      <c r="F22" s="10" t="n">
        <v>5</v>
      </c>
      <c r="G22" s="10" t="n">
        <v>0</v>
      </c>
      <c r="H22" s="11" t="inlineStr">
        <is>
          <t>XOR tree depth = 2 stages. Total delay = 2 * 5.2 ns = 10.4 ns.</t>
        </is>
      </c>
    </row>
    <row r="23">
      <c r="A23" s="8" t="n">
        <v>19</v>
      </c>
      <c r="B23" s="9" t="inlineStr">
        <is>
          <t>Section C: Puzzles</t>
        </is>
      </c>
      <c r="C23" s="9" t="inlineStr">
        <is>
          <t>Fault Diagnostic Black-Box (s-a-0)</t>
        </is>
      </c>
      <c r="D23" s="8" t="inlineStr">
        <is>
          <t>Puzzle</t>
        </is>
      </c>
      <c r="E23" s="8" t="inlineStr">
        <is>
          <t>10 mins</t>
        </is>
      </c>
      <c r="F23" s="8" t="n">
        <v>10</v>
      </c>
      <c r="G23" s="8" t="n">
        <v>0</v>
      </c>
      <c r="H23" s="9" t="inlineStr">
        <is>
          <t>Fault table for 3-input majority logic; Minimal test set {110, 011, 101}. Test 111 fails.</t>
        </is>
      </c>
    </row>
    <row r="24">
      <c r="A24" s="10" t="n">
        <v>20</v>
      </c>
      <c r="B24" s="11" t="inlineStr">
        <is>
          <t>Section C: Puzzles</t>
        </is>
      </c>
      <c r="C24" s="11" t="inlineStr">
        <is>
          <t>Self-Complementing Lock (Excess-3)</t>
        </is>
      </c>
      <c r="D24" s="10" t="inlineStr">
        <is>
          <t>Puzzle</t>
        </is>
      </c>
      <c r="E24" s="10" t="inlineStr">
        <is>
          <t>10 mins</t>
        </is>
      </c>
      <c r="F24" s="10" t="n">
        <v>10</v>
      </c>
      <c r="G24" s="10" t="n">
        <v>0</v>
      </c>
      <c r="H24" s="11" t="inlineStr">
        <is>
          <t>Mathematical proof that 9's complement of Excess-3 is bitwise NOT (Yi = Xi'). 71.4% gate reduction.</t>
        </is>
      </c>
    </row>
    <row r="25">
      <c r="A25" s="8" t="inlineStr">
        <is>
          <t>T1</t>
        </is>
      </c>
      <c r="B25" s="9" t="inlineStr">
        <is>
          <t>Tie-Breaker Round</t>
        </is>
      </c>
      <c r="C25" s="9" t="inlineStr">
        <is>
          <t>Static 0-Hazard POS Consensus</t>
        </is>
      </c>
      <c r="D25" s="8" t="inlineStr">
        <is>
          <t>Rapid</t>
        </is>
      </c>
      <c r="E25" s="8" t="inlineStr">
        <is>
          <t>Instant</t>
        </is>
      </c>
      <c r="F25" s="8" t="n">
        <v>0</v>
      </c>
      <c r="G25" s="8" t="n">
        <v>0</v>
      </c>
      <c r="H25" s="9" t="inlineStr">
        <is>
          <t>Add consensus clause (B + C) to POS expression to eliminate static 0-hazard.</t>
        </is>
      </c>
    </row>
    <row r="26">
      <c r="A26" s="10" t="inlineStr">
        <is>
          <t>T2</t>
        </is>
      </c>
      <c r="B26" s="11" t="inlineStr">
        <is>
          <t>Tie-Breaker Round</t>
        </is>
      </c>
      <c r="C26" s="11" t="inlineStr">
        <is>
          <t>64:1 MUX Tree Capacity</t>
        </is>
      </c>
      <c r="D26" s="10" t="inlineStr">
        <is>
          <t>Rapid</t>
        </is>
      </c>
      <c r="E26" s="10" t="inlineStr">
        <is>
          <t>Instant</t>
        </is>
      </c>
      <c r="F26" s="10" t="n">
        <v>0</v>
      </c>
      <c r="G26" s="10" t="n">
        <v>0</v>
      </c>
      <c r="H26" s="11" t="inlineStr">
        <is>
          <t>Total 63 2:1 MUXes required to build a 64:1 MUX tree (N - 1 = 63).</t>
        </is>
      </c>
    </row>
    <row r="27">
      <c r="A27" s="8" t="inlineStr">
        <is>
          <t>T3</t>
        </is>
      </c>
      <c r="B27" s="9" t="inlineStr">
        <is>
          <t>Tie-Breaker Round</t>
        </is>
      </c>
      <c r="C27" s="9" t="inlineStr">
        <is>
          <t>Minimal NOR Gates for XNOR</t>
        </is>
      </c>
      <c r="D27" s="8" t="inlineStr">
        <is>
          <t>Rapid</t>
        </is>
      </c>
      <c r="E27" s="8" t="inlineStr">
        <is>
          <t>Instant</t>
        </is>
      </c>
      <c r="F27" s="8" t="n">
        <v>0</v>
      </c>
      <c r="G27" s="8" t="n">
        <v>0</v>
      </c>
      <c r="H27" s="9" t="inlineStr">
        <is>
          <t>Exactly 4 2-input NOR gates required to realize 2-input XNOR.</t>
        </is>
      </c>
    </row>
    <row r="28">
      <c r="A28" s="14" t="inlineStr">
        <is>
          <t>TOTAL MAIN EXAM MARKS</t>
        </is>
      </c>
      <c r="F28" s="13">
        <f>SUM(F5:F24)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8" customWidth="1" min="3" max="3"/>
    <col width="41" customWidth="1" min="4" max="4"/>
    <col width="45" customWidth="1" min="5" max="5"/>
    <col width="41" customWidth="1" min="6" max="6"/>
  </cols>
  <sheetData>
    <row r="1">
      <c r="A1" s="1" t="inlineStr">
        <is>
          <t>LOGIC MATRIX — EVENT ROSTER &amp; TASK ASSIGNMENTS</t>
        </is>
      </c>
    </row>
    <row r="2">
      <c r="A2" s="2" t="inlineStr">
        <is>
          <t>Faculty Coordinators, Student Volunteers &amp; Proctoring Roles for Room R406A</t>
        </is>
      </c>
    </row>
    <row r="3"/>
    <row r="4">
      <c r="A4" s="7" t="inlineStr">
        <is>
          <t>Role / Designation</t>
        </is>
      </c>
      <c r="B4" s="7" t="inlineStr">
        <is>
          <t>Assigned Person</t>
        </is>
      </c>
      <c r="C4" s="7" t="inlineStr">
        <is>
          <t>Contact / ID</t>
        </is>
      </c>
      <c r="D4" s="7" t="inlineStr">
        <is>
          <t>Pre-Event Task (9:00 - 9:30 AM)</t>
        </is>
      </c>
      <c r="E4" s="7" t="inlineStr">
        <is>
          <t>Event-Time Duty (9:30 - 11:45 AM)</t>
        </is>
      </c>
      <c r="F4" s="7" t="inlineStr">
        <is>
          <t>Post-Event Duty (11:45 - 12:30 PM)</t>
        </is>
      </c>
    </row>
    <row r="5">
      <c r="A5" s="9" t="inlineStr">
        <is>
          <t>Faculty Lead / Judge</t>
        </is>
      </c>
      <c r="B5" s="9" t="inlineStr">
        <is>
          <t>Dr. ECE Faculty Coordinator</t>
        </is>
      </c>
      <c r="C5" s="8" t="inlineStr">
        <is>
          <t>Ext 4012</t>
        </is>
      </c>
      <c r="D5" s="9" t="inlineStr">
        <is>
          <t>Verify projector, room key R406A</t>
        </is>
      </c>
      <c r="E5" s="9" t="inlineStr">
        <is>
          <t>Supervise exam integrity &amp; timing</t>
        </is>
      </c>
      <c r="F5" s="9" t="inlineStr">
        <is>
          <t>Oversee grading &amp; winner declaration</t>
        </is>
      </c>
    </row>
    <row r="6">
      <c r="A6" s="11" t="inlineStr">
        <is>
          <t>Proctor / Co-Lead</t>
        </is>
      </c>
      <c r="B6" s="11" t="inlineStr">
        <is>
          <t>Assistant Professor (ECE)</t>
        </is>
      </c>
      <c r="C6" s="10" t="inlineStr">
        <is>
          <t>Ext 4015</t>
        </is>
      </c>
      <c r="D6" s="11" t="inlineStr">
        <is>
          <t>Inspect answer booklets &amp; stationery</t>
        </is>
      </c>
      <c r="E6" s="11" t="inlineStr">
        <is>
          <t>Active room patrolling, enforce phone ban</t>
        </is>
      </c>
      <c r="F6" s="11" t="inlineStr">
        <is>
          <t>Grade Section B &amp; C answer sheets</t>
        </is>
      </c>
    </row>
    <row r="7">
      <c r="A7" s="9" t="inlineStr">
        <is>
          <t>Chief Student Coordinator</t>
        </is>
      </c>
      <c r="B7" s="9" t="inlineStr">
        <is>
          <t>2nd Year Student Lead</t>
        </is>
      </c>
      <c r="C7" s="8" t="inlineStr">
        <is>
          <t>+91 9876543210</t>
        </is>
      </c>
      <c r="D7" s="9" t="inlineStr">
        <is>
          <t>Set up podium PC &amp; project Slide 1</t>
        </is>
      </c>
      <c r="E7" s="9" t="inlineStr">
        <is>
          <t>Manage timekeeper slide alerts</t>
        </is>
      </c>
      <c r="F7" s="9" t="inlineStr">
        <is>
          <t>Collect answer sheets &amp; tally scores</t>
        </is>
      </c>
    </row>
    <row r="8">
      <c r="A8" s="11" t="inlineStr">
        <is>
          <t>Volunteer 1 (Check-in)</t>
        </is>
      </c>
      <c r="B8" s="11" t="inlineStr">
        <is>
          <t>ECE Student Volunteer A</t>
        </is>
      </c>
      <c r="C8" s="10" t="inlineStr">
        <is>
          <t>+91 9876543211</t>
        </is>
      </c>
      <c r="D8" s="11" t="inlineStr">
        <is>
          <t>Student registration desk at door</t>
        </is>
      </c>
      <c r="E8" s="11" t="inlineStr">
        <is>
          <t>Distribute answer booklets to rows 1-3</t>
        </is>
      </c>
      <c r="F8" s="11" t="inlineStr">
        <is>
          <t>Assist in script collation</t>
        </is>
      </c>
    </row>
    <row r="9">
      <c r="A9" s="9" t="inlineStr">
        <is>
          <t>Volunteer 2 (Floor)</t>
        </is>
      </c>
      <c r="B9" s="9" t="inlineStr">
        <is>
          <t>ECE Student Volunteer B</t>
        </is>
      </c>
      <c r="C9" s="8" t="inlineStr">
        <is>
          <t>+91 9876543212</t>
        </is>
      </c>
      <c r="D9" s="9" t="inlineStr">
        <is>
          <t>Arrange seating layout &amp; scratch pads</t>
        </is>
      </c>
      <c r="E9" s="9" t="inlineStr">
        <is>
          <t>Distribute answer booklets to rows 4-6</t>
        </is>
      </c>
      <c r="F9" s="9" t="inlineStr">
        <is>
          <t>Distribute participation certificates</t>
        </is>
      </c>
    </row>
    <row r="10">
      <c r="A10" s="11" t="inlineStr">
        <is>
          <t>AV / IT Specialist</t>
        </is>
      </c>
      <c r="B10" s="11" t="inlineStr">
        <is>
          <t>KL University Tech Team</t>
        </is>
      </c>
      <c r="C10" s="10" t="inlineStr">
        <is>
          <t>Ext 1100</t>
        </is>
      </c>
      <c r="D10" s="11" t="inlineStr">
        <is>
          <t>Connect HDMI, test clicker &amp; audio</t>
        </is>
      </c>
      <c r="E10" s="11" t="inlineStr">
        <is>
          <t>Standby for projector/PC issues</t>
        </is>
      </c>
      <c r="F10" s="11" t="inlineStr">
        <is>
          <t>Store equipment post-event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9" customWidth="1" min="3" max="3"/>
    <col width="16" customWidth="1" min="4" max="4"/>
    <col width="20" customWidth="1" min="5" max="5"/>
    <col width="22" customWidth="1" min="6" max="6"/>
    <col width="23" customWidth="1" min="7" max="7"/>
    <col width="21" customWidth="1" min="8" max="8"/>
    <col width="96" customWidth="1" min="9" max="9"/>
  </cols>
  <sheetData>
    <row r="1">
      <c r="A1" s="1" t="inlineStr">
        <is>
          <t>LOGIC MATRIX — OFFICIAL JURY SCORECARD</t>
        </is>
      </c>
    </row>
    <row r="2">
      <c r="A2" s="2" t="inlineStr">
        <is>
          <t>Live Candidate Score Tracking, Automated Totaling &amp; Rank Calculation Sheet</t>
        </is>
      </c>
    </row>
    <row r="3"/>
    <row r="4">
      <c r="A4" s="7" t="inlineStr">
        <is>
          <t>Rank</t>
        </is>
      </c>
      <c r="B4" s="7" t="inlineStr">
        <is>
          <t>Reg. ID</t>
        </is>
      </c>
      <c r="C4" s="7" t="inlineStr">
        <is>
          <t>Student Name</t>
        </is>
      </c>
      <c r="D4" s="7" t="inlineStr">
        <is>
          <t>Branch / Sec</t>
        </is>
      </c>
      <c r="E4" s="7" t="inlineStr">
        <is>
          <t>Sec A (MCQs /20)</t>
        </is>
      </c>
      <c r="F4" s="7" t="inlineStr">
        <is>
          <t>Sec B (Design /40)</t>
        </is>
      </c>
      <c r="G4" s="7" t="inlineStr">
        <is>
          <t>Sec C (Puzzles /20)</t>
        </is>
      </c>
      <c r="H4" s="7" t="inlineStr">
        <is>
          <t>Total Score (/80)</t>
        </is>
      </c>
      <c r="I4" s="7" t="inlineStr">
        <is>
          <t>Status / Medal</t>
        </is>
      </c>
    </row>
    <row r="5">
      <c r="A5" s="15">
        <f>RANK(H5, H$5:H$12)</f>
        <v/>
      </c>
      <c r="B5" s="8" t="inlineStr">
        <is>
          <t>230003001</t>
        </is>
      </c>
      <c r="C5" s="9" t="inlineStr">
        <is>
          <t>Aarav Sharma</t>
        </is>
      </c>
      <c r="D5" s="8" t="inlineStr">
        <is>
          <t>ECE-A</t>
        </is>
      </c>
      <c r="E5" s="16" t="n">
        <v>18</v>
      </c>
      <c r="F5" s="16" t="n">
        <v>36</v>
      </c>
      <c r="G5" s="16" t="n">
        <v>20</v>
      </c>
      <c r="H5" s="17">
        <f>SUM(E5:G5)</f>
        <v/>
      </c>
      <c r="I5" s="15">
        <f>IF(A5=1, "🥇 1st Place", IF(A5=2, "🥈 2nd Place", IF(A5=3, "🥉 3rd Place", "Participant")))</f>
        <v/>
      </c>
    </row>
    <row r="6">
      <c r="A6" s="15">
        <f>RANK(H6, H$5:H$12)</f>
        <v/>
      </c>
      <c r="B6" s="8" t="inlineStr">
        <is>
          <t>230003015</t>
        </is>
      </c>
      <c r="C6" s="9" t="inlineStr">
        <is>
          <t>Bhavya Reddy</t>
        </is>
      </c>
      <c r="D6" s="8" t="inlineStr">
        <is>
          <t>ECE-B</t>
        </is>
      </c>
      <c r="E6" s="16" t="n">
        <v>20</v>
      </c>
      <c r="F6" s="16" t="n">
        <v>32</v>
      </c>
      <c r="G6" s="16" t="n">
        <v>18</v>
      </c>
      <c r="H6" s="17">
        <f>SUM(E6:G6)</f>
        <v/>
      </c>
      <c r="I6" s="15">
        <f>IF(A6=1, "🥇 1st Place", IF(A6=2, "🥈 2nd Place", IF(A6=3, "🥉 3rd Place", "Participant")))</f>
        <v/>
      </c>
    </row>
    <row r="7">
      <c r="A7" s="15">
        <f>RANK(H7, H$5:H$12)</f>
        <v/>
      </c>
      <c r="B7" s="8" t="inlineStr">
        <is>
          <t>230003042</t>
        </is>
      </c>
      <c r="C7" s="9" t="inlineStr">
        <is>
          <t>Chaitanya Kumar</t>
        </is>
      </c>
      <c r="D7" s="8" t="inlineStr">
        <is>
          <t>ECE-A</t>
        </is>
      </c>
      <c r="E7" s="16" t="n">
        <v>16</v>
      </c>
      <c r="F7" s="16" t="n">
        <v>35</v>
      </c>
      <c r="G7" s="16" t="n">
        <v>15</v>
      </c>
      <c r="H7" s="17">
        <f>SUM(E7:G7)</f>
        <v/>
      </c>
      <c r="I7" s="15">
        <f>IF(A7=1, "🥇 1st Place", IF(A7=2, "🥈 2nd Place", IF(A7=3, "🥉 3rd Place", "Participant")))</f>
        <v/>
      </c>
    </row>
    <row r="8">
      <c r="A8" s="15">
        <f>RANK(H8, H$5:H$12)</f>
        <v/>
      </c>
      <c r="B8" s="8" t="inlineStr">
        <is>
          <t>230003088</t>
        </is>
      </c>
      <c r="C8" s="9" t="inlineStr">
        <is>
          <t>Divya Sri</t>
        </is>
      </c>
      <c r="D8" s="8" t="inlineStr">
        <is>
          <t>ECE-C</t>
        </is>
      </c>
      <c r="E8" s="16" t="n">
        <v>14</v>
      </c>
      <c r="F8" s="16" t="n">
        <v>30</v>
      </c>
      <c r="G8" s="16" t="n">
        <v>10</v>
      </c>
      <c r="H8" s="17">
        <f>SUM(E8:G8)</f>
        <v/>
      </c>
      <c r="I8" s="15">
        <f>IF(A8=1, "🥇 1st Place", IF(A8=2, "🥈 2nd Place", IF(A8=3, "🥉 3rd Place", "Participant")))</f>
        <v/>
      </c>
    </row>
    <row r="9">
      <c r="A9" s="15">
        <f>RANK(H9, H$5:H$12)</f>
        <v/>
      </c>
      <c r="B9" s="8" t="inlineStr">
        <is>
          <t>230003102</t>
        </is>
      </c>
      <c r="C9" s="9" t="inlineStr">
        <is>
          <t>Eashan Verma</t>
        </is>
      </c>
      <c r="D9" s="8" t="inlineStr">
        <is>
          <t>ECE-B</t>
        </is>
      </c>
      <c r="E9" s="16" t="n">
        <v>12</v>
      </c>
      <c r="F9" s="16" t="n">
        <v>28</v>
      </c>
      <c r="G9" s="16" t="n">
        <v>12</v>
      </c>
      <c r="H9" s="17">
        <f>SUM(E9:G9)</f>
        <v/>
      </c>
      <c r="I9" s="15">
        <f>IF(A9=1, "🥇 1st Place", IF(A9=2, "🥈 2nd Place", IF(A9=3, "🥉 3rd Place", "Participant")))</f>
        <v/>
      </c>
    </row>
    <row r="10">
      <c r="A10" s="15">
        <f>RANK(H10, H$5:H$12)</f>
        <v/>
      </c>
      <c r="B10" s="8" t="inlineStr">
        <is>
          <t>230003120</t>
        </is>
      </c>
      <c r="C10" s="9" t="inlineStr">
        <is>
          <t>Farhan Ahmed</t>
        </is>
      </c>
      <c r="D10" s="8" t="inlineStr">
        <is>
          <t>ECE-A</t>
        </is>
      </c>
      <c r="E10" s="16" t="n">
        <v>16</v>
      </c>
      <c r="F10" s="16" t="n">
        <v>24</v>
      </c>
      <c r="G10" s="16" t="n">
        <v>8</v>
      </c>
      <c r="H10" s="17">
        <f>SUM(E10:G10)</f>
        <v/>
      </c>
      <c r="I10" s="15">
        <f>IF(A10=1, "🥇 1st Place", IF(A10=2, "🥈 2nd Place", IF(A10=3, "🥉 3rd Place", "Participant")))</f>
        <v/>
      </c>
    </row>
    <row r="11">
      <c r="A11" s="15">
        <f>RANK(H11, H$5:H$12)</f>
        <v/>
      </c>
      <c r="B11" s="8" t="inlineStr">
        <is>
          <t>230003145</t>
        </is>
      </c>
      <c r="C11" s="9" t="inlineStr">
        <is>
          <t>Gautam Teja</t>
        </is>
      </c>
      <c r="D11" s="8" t="inlineStr">
        <is>
          <t>ECE-C</t>
        </is>
      </c>
      <c r="E11" s="16" t="n">
        <v>10</v>
      </c>
      <c r="F11" s="16" t="n">
        <v>22</v>
      </c>
      <c r="G11" s="16" t="n">
        <v>10</v>
      </c>
      <c r="H11" s="17">
        <f>SUM(E11:G11)</f>
        <v/>
      </c>
      <c r="I11" s="15">
        <f>IF(A11=1, "🥇 1st Place", IF(A11=2, "🥈 2nd Place", IF(A11=3, "🥉 3rd Place", "Participant")))</f>
        <v/>
      </c>
    </row>
    <row r="12">
      <c r="A12" s="15">
        <f>RANK(H12, H$5:H$12)</f>
        <v/>
      </c>
      <c r="B12" s="8" t="inlineStr">
        <is>
          <t>230003160</t>
        </is>
      </c>
      <c r="C12" s="9" t="inlineStr">
        <is>
          <t>Harini K</t>
        </is>
      </c>
      <c r="D12" s="8" t="inlineStr">
        <is>
          <t>ECE-B</t>
        </is>
      </c>
      <c r="E12" s="16" t="n">
        <v>8</v>
      </c>
      <c r="F12" s="16" t="n">
        <v>20</v>
      </c>
      <c r="G12" s="16" t="n">
        <v>5</v>
      </c>
      <c r="H12" s="17">
        <f>SUM(E12:G12)</f>
        <v/>
      </c>
      <c r="I12" s="15">
        <f>IF(A12=1, "🥇 1st Place", IF(A12=2, "🥈 2nd Place", IF(A12=3, "🥉 3rd Place", "Participant")))</f>
        <v/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2026-10-28T17:01:14Z</dcterms:created>
  <dcterms:modified xmlns:dcterms="http://purl.org/dc/terms/" xmlns:xsi="http://www.w3.org/2001/XMLSchema-instance" xsi:type="dcterms:W3CDTF">2026-10-28T17:01:14Z</dcterms:modified>
</cp:coreProperties>
</file>